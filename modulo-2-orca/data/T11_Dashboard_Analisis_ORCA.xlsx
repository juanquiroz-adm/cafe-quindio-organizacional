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_Cruda" sheetId="1" state="visible" r:id="rId3"/>
    <sheet name="Tabulacion_KPIs" sheetId="2" state="visible" r:id="rId4"/>
    <sheet name="Dashboard_Visual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<sst xmlns="http://schemas.openxmlformats.org/spreadsheetml/2006/main" count="383" uniqueCount="43">
  <si>
    <t xml:space="preserve">¿A través de qué canal digital prefiere recibir información sobre bienestar y rescate animal?</t>
  </si>
  <si>
    <t xml:space="preserve">¿Qué tipo de contenido visual le genera mayor nivel de confianza para decidir realizar una donación a una ONG?</t>
  </si>
  <si>
    <t xml:space="preserve">Al interactuar con las redes sociales de una fundación, ¿qué factor considera más importante para compartir su contenido?</t>
  </si>
  <si>
    <t xml:space="preserve">¿Cuál es la principal barrera comunicativa que le impide donar a una entidad sin ánimo de lucro?</t>
  </si>
  <si>
    <t xml:space="preserve">Si usted decidiera adoptar una mascota, ¿qué formato publicitario captaría más su atención?</t>
  </si>
  <si>
    <t xml:space="preserve">¿Considera que una identidad gráfica estandarizada y profesional en las redes de una ONG aumenta su percepción de transparencia institucional?</t>
  </si>
  <si>
    <t xml:space="preserve">Tik Tok</t>
  </si>
  <si>
    <t xml:space="preserve">Videos reales del rescate y recuperación</t>
  </si>
  <si>
    <t xml:space="preserve">Que el diseño gráfico sea atractivo y profesional</t>
  </si>
  <si>
    <t xml:space="preserve">Ninguna barrera (dono frecuentemente sin problema)</t>
  </si>
  <si>
    <t xml:space="preserve">Un afiche digital estático con diseño muy profesional</t>
  </si>
  <si>
    <t xml:space="preserve">Aporta a la imagen, pero no es decisivo para confiar</t>
  </si>
  <si>
    <t xml:space="preserve">Facebook</t>
  </si>
  <si>
    <t xml:space="preserve">Informes financieros e infografías</t>
  </si>
  <si>
    <t xml:space="preserve">Que evidencie el impacto real de las ayudas comunitarias</t>
  </si>
  <si>
    <t xml:space="preserve">Una infografía clara con los requisitos de adopción</t>
  </si>
  <si>
    <t xml:space="preserve">Otro (WhatsApp, X, etc.)</t>
  </si>
  <si>
    <t xml:space="preserve">Procesos de donación o plataformas de pago complejos</t>
  </si>
  <si>
    <t xml:space="preserve">Un video corto y dinámico tipo Reel / TikTok</t>
  </si>
  <si>
    <t xml:space="preserve">No influye en mi percepción de transparencia</t>
  </si>
  <si>
    <t xml:space="preserve">Que apele a la emotividad y la urgencia</t>
  </si>
  <si>
    <t xml:space="preserve">Sí, definitivamente</t>
  </si>
  <si>
    <t xml:space="preserve">Testimonios de adopción exitosa</t>
  </si>
  <si>
    <t xml:space="preserve">Que el contenido sea educativo (pedagogía)</t>
  </si>
  <si>
    <t xml:space="preserve">Poca información o desactualización en sus redes sociales</t>
  </si>
  <si>
    <t xml:space="preserve">Un carrusel de fotos detallando la historia del animal</t>
  </si>
  <si>
    <t xml:space="preserve">Sitio Web Institucional</t>
  </si>
  <si>
    <t xml:space="preserve">Fotos de los animales en el refugio/hogar de paso</t>
  </si>
  <si>
    <t xml:space="preserve">Una transmisión en vivo interactuando con la mascota</t>
  </si>
  <si>
    <t xml:space="preserve">Transmisiones en vivo (Lives) mostrando las instalaciones</t>
  </si>
  <si>
    <t xml:space="preserve">Instagram</t>
  </si>
  <si>
    <t xml:space="preserve">Desconocimiento general de la fundación y su labor</t>
  </si>
  <si>
    <t xml:space="preserve">Falta de claridad en cómo se administra el dinero</t>
  </si>
  <si>
    <t xml:space="preserve">Que la información sea corta y precisa</t>
  </si>
  <si>
    <t xml:space="preserve">Cana Digital</t>
  </si>
  <si>
    <t xml:space="preserve">Frecuencia</t>
  </si>
  <si>
    <t xml:space="preserve">Porcentaje</t>
  </si>
  <si>
    <t xml:space="preserve">Formato Publicitario</t>
  </si>
  <si>
    <t xml:space="preserve">Contenido Visual</t>
  </si>
  <si>
    <t xml:space="preserve">Percepción de Transparencia</t>
  </si>
  <si>
    <t xml:space="preserve">Factor de Interacción</t>
  </si>
  <si>
    <t xml:space="preserve">Barrera Comunicativa</t>
  </si>
  <si>
    <t xml:space="preserve">DASHBOARD DE AUDITORÍA COMUNICACIONAL – FUNDACIÓN O.R.C.A.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</si>
</sst>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%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B2B2B2"/>
      <name val="Times New Roman"/>
      <family val="1"/>
      <charset val="1"/>
    </font>
    <font>
      <sz val="10"/>
      <name val="Times New Roman"/>
      <family val="1"/>
      <charset val="1"/>
    </font>
    <font>
      <b val="true"/>
      <sz val="12"/>
      <color rgb="FFB2B2B2"/>
      <name val="Nimbus Roman"/>
      <family val="0"/>
      <charset val="1"/>
    </font>
    <font>
      <sz val="12"/>
      <color rgb="FFB2B2B2"/>
      <name val="Nimbus Roman"/>
      <family val="0"/>
      <charset val="1"/>
    </font>
    <font>
      <sz val="10"/>
      <name val="Lato"/>
      <family val="0"/>
      <charset val="1"/>
    </font>
    <font>
      <sz val="10"/>
      <color rgb="FFCCCCCC"/>
      <name val="Arial"/>
      <family val="2"/>
      <charset val="1"/>
    </font>
    <font>
      <b val="true"/>
      <sz val="16"/>
      <color rgb="FF333333"/>
      <name val="Nimbus Roman"/>
      <family val="0"/>
      <charset val="1"/>
    </font>
    <font>
      <sz val="13"/>
      <name val="Arial"/>
      <family val="2"/>
    </font>
    <font>
      <sz val="10"/>
      <name val="Nimbus San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3B3B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B2B2B2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CO" sz="1300" spc="-1" strike="noStrike">
                <a:latin typeface="Arial"/>
              </a:defRPr>
            </a:pPr>
            <a:r>
              <a:rPr b="0" lang="es-CO" sz="1300" spc="-1" strike="noStrike">
                <a:latin typeface="Arial"/>
              </a:rPr>
              <a:t>Preferencia de Canales Digitales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Tabulacion_KPIs!$B$1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lang="es-CO" sz="1000" spc="-1" strike="noStrike">
                      <a:latin typeface="Nimbus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lang="es-CO" sz="1000" spc="-1" strike="noStrike">
                      <a:latin typeface="Nimbus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lang="es-CO" sz="1000" spc="-1" strike="noStrike">
                      <a:latin typeface="Nimbus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lang="es-CO" sz="1000" spc="-1" strike="noStrike">
                      <a:latin typeface="Nimbus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lang="es-CO" sz="1000" spc="-1" strike="noStrike">
                      <a:latin typeface="Nimbus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 </c:separator>
            </c:dLbl>
            <c:txPr>
              <a:bodyPr wrap="none"/>
              <a:lstStyle/>
              <a:p>
                <a:pPr>
                  <a:defRPr b="0" lang="es-CO" sz="1000" spc="-1" strike="noStrike">
                    <a:latin typeface="Nimbus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 </c:separator>
            <c:showLeaderLines val="1"/>
          </c:dLbls>
          <c:cat>
            <c:strRef>
              <c:f>Tabulacion_KPIs!$A$2:$A$6</c:f>
              <c:strCache>
                <c:ptCount val="5"/>
                <c:pt idx="0">
                  <c:v>Tik Tok</c:v>
                </c:pt>
                <c:pt idx="1">
                  <c:v>Facebook</c:v>
                </c:pt>
                <c:pt idx="2">
                  <c:v>Sitio Web Institucional</c:v>
                </c:pt>
                <c:pt idx="3">
                  <c:v>Otro (WhatsApp, X, etc.)</c:v>
                </c:pt>
                <c:pt idx="4">
                  <c:v>Instagram</c:v>
                </c:pt>
              </c:strCache>
            </c:strRef>
          </c:cat>
          <c:val>
            <c:numRef>
              <c:f>Tabulacion_KPIs!$B$2:$B$6</c:f>
              <c:numCache>
                <c:formatCode>General</c:formatCode>
                <c:ptCount val="5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8</c:v>
                </c:pt>
                <c:pt idx="4">
                  <c:v>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lang="es-CO" sz="1000" spc="-1" strike="noStrike">
              <a:latin typeface="Arial"/>
            </a:defRPr>
          </a:pPr>
        </a:p>
      </c:txPr>
    </c:legend>
    <c:plotVisOnly val="1"/>
  </c:chart>
  <c:spPr>
    <a:noFill/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CO" sz="1300" spc="-1" strike="noStrike">
                <a:latin typeface="Arial"/>
              </a:defRPr>
            </a:pPr>
            <a:r>
              <a:rPr b="0" lang="es-CO" sz="1300" spc="-1" strike="noStrike">
                <a:latin typeface="Arial"/>
              </a:rPr>
              <a:t>Contenido que Genera Mayor Confianza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Tabulacion_KPIs!$B$9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1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1"/>
              <c:txPr>
                <a:bodyPr wrap="none"/>
                <a:lstStyle/>
                <a:p>
                  <a:pPr>
                    <a:defRPr b="0" lang="es-CO" sz="1000" spc="-1" strike="noStrike">
                      <a:latin typeface="Nimbus Sans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lang="es-CO" sz="1000" spc="-1" strike="noStrike">
                    <a:latin typeface="Nimbus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Tabulacion_KPIs!$A$10:$A$14</c:f>
              <c:strCache>
                <c:ptCount val="5"/>
                <c:pt idx="0">
                  <c:v>Videos reales del rescate y recuperación</c:v>
                </c:pt>
                <c:pt idx="1">
                  <c:v>Informes financieros e infografías</c:v>
                </c:pt>
                <c:pt idx="2">
                  <c:v>Fotos de los animales en el refugio/hogar de paso</c:v>
                </c:pt>
                <c:pt idx="3">
                  <c:v>Testimonios de adopción exitosa</c:v>
                </c:pt>
                <c:pt idx="4">
                  <c:v>Transmisiones en vivo (Lives) mostrando las instalaciones</c:v>
                </c:pt>
              </c:strCache>
            </c:strRef>
          </c:cat>
          <c:val>
            <c:numRef>
              <c:f>Tabulacion_KPIs!$B$10:$B$14</c:f>
              <c:numCache>
                <c:formatCode>General</c:formatCode>
                <c:ptCount val="5"/>
                <c:pt idx="0">
                  <c:v>15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9</c:v>
                </c:pt>
              </c:numCache>
            </c:numRef>
          </c:val>
        </c:ser>
        <c:gapWidth val="100"/>
        <c:overlap val="0"/>
        <c:axId val="62854221"/>
        <c:axId val="42123606"/>
      </c:barChart>
      <c:catAx>
        <c:axId val="6285422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es-CO" sz="1000" spc="-1" strike="noStrike">
                <a:latin typeface="Arial"/>
              </a:defRPr>
            </a:pPr>
          </a:p>
        </c:txPr>
        <c:crossAx val="42123606"/>
        <c:crosses val="autoZero"/>
        <c:auto val="1"/>
        <c:lblAlgn val="ctr"/>
        <c:lblOffset val="100"/>
        <c:noMultiLvlLbl val="0"/>
      </c:catAx>
      <c:valAx>
        <c:axId val="421236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es-CO" sz="1000" spc="-1" strike="noStrike">
                <a:latin typeface="Arial"/>
              </a:defRPr>
            </a:pPr>
          </a:p>
        </c:txPr>
        <c:crossAx val="6285422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lang="es-CO" sz="1000" spc="-1" strike="noStrike"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CO" sz="1300" spc="-1" strike="noStrike">
                <a:latin typeface="Arial"/>
              </a:defRPr>
            </a:pPr>
            <a:r>
              <a:rPr b="0" lang="es-CO" sz="1300" spc="-1" strike="noStrike">
                <a:latin typeface="Arial"/>
              </a:rPr>
              <a:t>Factores de Viralidad (Compartir)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Tabulacion_KPIs!$B$17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lang="es-CO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Tabulacion_KPIs!$A$18:$A$22</c:f>
              <c:strCache>
                <c:ptCount val="5"/>
                <c:pt idx="0">
                  <c:v>Que apele a la emotividad y la urgencia</c:v>
                </c:pt>
                <c:pt idx="1">
                  <c:v>Que el diseño gráfico sea atractivo y profesional</c:v>
                </c:pt>
                <c:pt idx="2">
                  <c:v>Que evidencie el impacto real de las ayudas comunitarias</c:v>
                </c:pt>
                <c:pt idx="3">
                  <c:v>Que la información sea corta y precisa</c:v>
                </c:pt>
                <c:pt idx="4">
                  <c:v>Que el contenido sea educativo (pedagogía)</c:v>
                </c:pt>
              </c:strCache>
            </c:strRef>
          </c:cat>
          <c:val>
            <c:numRef>
              <c:f>Tabulacion_KPIs!$B$18:$B$22</c:f>
              <c:numCache>
                <c:formatCode>General</c:formatCode>
                <c:ptCount val="5"/>
                <c:pt idx="0">
                  <c:v>17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3</c:v>
                </c:pt>
              </c:numCache>
            </c:numRef>
          </c:val>
        </c:ser>
        <c:gapWidth val="100"/>
        <c:overlap val="0"/>
        <c:axId val="2336780"/>
        <c:axId val="52954758"/>
      </c:barChart>
      <c:catAx>
        <c:axId val="23367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es-CO" sz="1000" spc="-1" strike="noStrike">
                <a:latin typeface="Arial"/>
              </a:defRPr>
            </a:pPr>
          </a:p>
        </c:txPr>
        <c:crossAx val="52954758"/>
        <c:crosses val="autoZero"/>
        <c:auto val="1"/>
        <c:lblAlgn val="ctr"/>
        <c:lblOffset val="100"/>
        <c:noMultiLvlLbl val="0"/>
      </c:catAx>
      <c:valAx>
        <c:axId val="529547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es-CO" sz="1000" spc="-1" strike="noStrike">
                <a:latin typeface="Arial"/>
              </a:defRPr>
            </a:pPr>
          </a:p>
        </c:txPr>
        <c:crossAx val="233678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lang="es-CO" sz="1000" spc="-1" strike="noStrike"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CO" sz="1300" spc="-1" strike="noStrike">
                <a:latin typeface="Arial"/>
              </a:defRPr>
            </a:pPr>
            <a:r>
              <a:rPr b="0" lang="es-CO" sz="1300" spc="-1" strike="noStrike">
                <a:latin typeface="Arial"/>
              </a:rPr>
              <a:t>Barreras Críticas para la Donación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Tabulacion_KPIs!$B$25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lang="es-CO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Tabulacion_KPIs!$A$26:$A$30</c:f>
              <c:strCache>
                <c:ptCount val="5"/>
                <c:pt idx="0">
                  <c:v>Ninguna barrera (dono frecuentemente sin problema)</c:v>
                </c:pt>
                <c:pt idx="1">
                  <c:v>Poca información o desactualización en sus redes sociales</c:v>
                </c:pt>
                <c:pt idx="2">
                  <c:v>Procesos de donación o plataformas de pago complejos</c:v>
                </c:pt>
                <c:pt idx="3">
                  <c:v>Falta de claridad en cómo se administra el dinero</c:v>
                </c:pt>
                <c:pt idx="4">
                  <c:v>Desconocimiento general de la fundación y su labor</c:v>
                </c:pt>
              </c:strCache>
            </c:strRef>
          </c:cat>
          <c:val>
            <c:numRef>
              <c:f>Tabulacion_KPIs!$B$26:$B$30</c:f>
              <c:numCache>
                <c:formatCode>General</c:formatCode>
                <c:ptCount val="5"/>
                <c:pt idx="0">
                  <c:v>16</c:v>
                </c:pt>
                <c:pt idx="1">
                  <c:v>12</c:v>
                </c:pt>
                <c:pt idx="2">
                  <c:v>11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</c:ser>
        <c:gapWidth val="100"/>
        <c:overlap val="0"/>
        <c:axId val="2085143"/>
        <c:axId val="80825029"/>
      </c:barChart>
      <c:catAx>
        <c:axId val="2085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es-CO" sz="1000" spc="-1" strike="noStrike">
                <a:latin typeface="Arial"/>
              </a:defRPr>
            </a:pPr>
          </a:p>
        </c:txPr>
        <c:crossAx val="80825029"/>
        <c:crosses val="autoZero"/>
        <c:auto val="1"/>
        <c:lblAlgn val="ctr"/>
        <c:lblOffset val="100"/>
        <c:noMultiLvlLbl val="0"/>
      </c:catAx>
      <c:valAx>
        <c:axId val="808250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es-CO" sz="1000" spc="-1" strike="noStrike">
                <a:latin typeface="Arial"/>
              </a:defRPr>
            </a:pPr>
          </a:p>
        </c:txPr>
        <c:crossAx val="208514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lang="es-CO" sz="1000" spc="-1" strike="noStrike"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CO" sz="1300" spc="-1" strike="noStrike">
                <a:latin typeface="Arial"/>
              </a:defRPr>
            </a:pPr>
            <a:r>
              <a:rPr b="0" lang="es-CO" sz="1300" spc="-1" strike="noStrike">
                <a:latin typeface="Arial"/>
              </a:rPr>
              <a:t>Formato de Interés para Adopción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Tabulacion_KPIs!$F$1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50"/>
          <c:dPt>
            <c:idx val="0"/>
            <c:explosion val="5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explosion val="5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explosion val="5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explosion val="5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explosion val="50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lang="es-CO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lang="es-CO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lang="es-CO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lang="es-CO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lang="es-CO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 </c:separator>
            </c:dLbl>
            <c:txPr>
              <a:bodyPr wrap="none"/>
              <a:lstStyle/>
              <a:p>
                <a:pPr>
                  <a:defRPr b="0" lang="es-CO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 </c:separator>
            <c:showLeaderLines val="1"/>
          </c:dLbls>
          <c:cat>
            <c:strRef>
              <c:f>Tabulacion_KPIs!$E$2:$E$6</c:f>
              <c:strCache>
                <c:ptCount val="5"/>
                <c:pt idx="0">
                  <c:v>Un afiche digital estático con diseño muy profesional</c:v>
                </c:pt>
                <c:pt idx="1">
                  <c:v>Un video corto y dinámico tipo Reel / TikTok</c:v>
                </c:pt>
                <c:pt idx="2">
                  <c:v>Un carrusel de fotos detallando la historia del animal</c:v>
                </c:pt>
                <c:pt idx="3">
                  <c:v>Una transmisión en vivo interactuando con la mascota</c:v>
                </c:pt>
                <c:pt idx="4">
                  <c:v>Una infografía clara con los requisitos de adopción</c:v>
                </c:pt>
              </c:strCache>
            </c:strRef>
          </c:cat>
          <c:val>
            <c:numRef>
              <c:f>Tabulacion_KPIs!$F$2:$F$6</c:f>
              <c:numCache>
                <c:formatCode>General</c:formatCode>
                <c:ptCount val="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</c:ser>
        <c:firstSliceAng val="0"/>
        <c:holeSize val="50"/>
      </c:doughnutChart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lang="es-CO" sz="1000" spc="-1" strike="noStrike">
              <a:latin typeface="Arial"/>
            </a:defRPr>
          </a:pPr>
        </a:p>
      </c:txPr>
    </c:legend>
    <c:plotVisOnly val="1"/>
  </c:chart>
  <c:spPr>
    <a:noFill/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CO" sz="1300" spc="-1" strike="noStrike">
                <a:latin typeface="Arial"/>
              </a:defRPr>
            </a:pPr>
            <a:r>
              <a:rPr b="0" lang="es-CO" sz="1300" spc="-1" strike="noStrike">
                <a:latin typeface="Arial"/>
              </a:rPr>
              <a:t>Percepción de Diseño y Transparencia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Tabulacion_KPIs!$F$9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50"/>
          <c:dPt>
            <c:idx val="0"/>
            <c:explosion val="5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explosion val="5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explosion val="5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lang="es-CO" sz="1000" spc="-1" strike="noStrike">
                      <a:latin typeface="Nimbus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lang="es-CO" sz="1000" spc="-1" strike="noStrike">
                      <a:latin typeface="Nimbus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lang="es-CO" sz="1000" spc="-1" strike="noStrike">
                      <a:latin typeface="Nimbus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 </c:separator>
            </c:dLbl>
            <c:txPr>
              <a:bodyPr wrap="none"/>
              <a:lstStyle/>
              <a:p>
                <a:pPr>
                  <a:defRPr b="0" lang="es-CO" sz="1000" spc="-1" strike="noStrike">
                    <a:latin typeface="Nimbus San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 </c:separator>
            <c:showLeaderLines val="1"/>
          </c:dLbls>
          <c:cat>
            <c:strRef>
              <c:f>Tabulacion_KPIs!$E$10:$E$12</c:f>
              <c:strCache>
                <c:ptCount val="3"/>
                <c:pt idx="0">
                  <c:v>Sí, definitivamente</c:v>
                </c:pt>
                <c:pt idx="1">
                  <c:v>No influye en mi percepción de transparencia</c:v>
                </c:pt>
                <c:pt idx="2">
                  <c:v>Aporta a la imagen, pero no es decisivo para confiar</c:v>
                </c:pt>
              </c:strCache>
            </c:strRef>
          </c:cat>
          <c:val>
            <c:numRef>
              <c:f>Tabulacion_KPIs!$F$10:$F$12</c:f>
              <c:numCache>
                <c:formatCode>General</c:formatCode>
                <c:ptCount val="3"/>
                <c:pt idx="0">
                  <c:v>30</c:v>
                </c:pt>
                <c:pt idx="1">
                  <c:v>13</c:v>
                </c:pt>
                <c:pt idx="2">
                  <c:v>12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lang="es-CO" sz="1000" spc="-1" strike="noStrike">
              <a:latin typeface="Arial"/>
            </a:defRPr>
          </a:pPr>
        </a:p>
      </c:txPr>
    </c:legend>
    <c:plotVisOnly val="1"/>
  </c:chart>
  <c:spPr>
    <a:noFill/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2</xdr:row>
      <xdr:rowOff>46080</xdr:rowOff>
    </xdr:from>
    <xdr:to>
      <xdr:col>4</xdr:col>
      <xdr:colOff>1298160</xdr:colOff>
      <xdr:row>22</xdr:row>
      <xdr:rowOff>107640</xdr:rowOff>
    </xdr:to>
    <xdr:graphicFrame>
      <xdr:nvGraphicFramePr>
        <xdr:cNvPr id="0" name=""/>
        <xdr:cNvGraphicFramePr/>
      </xdr:nvGraphicFramePr>
      <xdr:xfrm>
        <a:off x="57240" y="644400"/>
        <a:ext cx="6877080" cy="386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184680</xdr:colOff>
      <xdr:row>4</xdr:row>
      <xdr:rowOff>78120</xdr:rowOff>
    </xdr:from>
    <xdr:to>
      <xdr:col>14</xdr:col>
      <xdr:colOff>24480</xdr:colOff>
      <xdr:row>24</xdr:row>
      <xdr:rowOff>92880</xdr:rowOff>
    </xdr:to>
    <xdr:graphicFrame>
      <xdr:nvGraphicFramePr>
        <xdr:cNvPr id="1" name=""/>
        <xdr:cNvGraphicFramePr/>
      </xdr:nvGraphicFramePr>
      <xdr:xfrm>
        <a:off x="8967960" y="1001520"/>
        <a:ext cx="6794280" cy="3821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39600</xdr:colOff>
      <xdr:row>25</xdr:row>
      <xdr:rowOff>18000</xdr:rowOff>
    </xdr:from>
    <xdr:to>
      <xdr:col>4</xdr:col>
      <xdr:colOff>1356480</xdr:colOff>
      <xdr:row>50</xdr:row>
      <xdr:rowOff>67320</xdr:rowOff>
    </xdr:to>
    <xdr:graphicFrame>
      <xdr:nvGraphicFramePr>
        <xdr:cNvPr id="2" name=""/>
        <xdr:cNvGraphicFramePr/>
      </xdr:nvGraphicFramePr>
      <xdr:xfrm>
        <a:off x="39600" y="5183640"/>
        <a:ext cx="6953040" cy="4113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1399320</xdr:colOff>
      <xdr:row>25</xdr:row>
      <xdr:rowOff>10800</xdr:rowOff>
    </xdr:from>
    <xdr:to>
      <xdr:col>14</xdr:col>
      <xdr:colOff>157680</xdr:colOff>
      <xdr:row>50</xdr:row>
      <xdr:rowOff>25920</xdr:rowOff>
    </xdr:to>
    <xdr:graphicFrame>
      <xdr:nvGraphicFramePr>
        <xdr:cNvPr id="3" name=""/>
        <xdr:cNvGraphicFramePr/>
      </xdr:nvGraphicFramePr>
      <xdr:xfrm>
        <a:off x="8643240" y="5176440"/>
        <a:ext cx="7252200" cy="4079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53</xdr:row>
      <xdr:rowOff>154440</xdr:rowOff>
    </xdr:from>
    <xdr:to>
      <xdr:col>4</xdr:col>
      <xdr:colOff>1441080</xdr:colOff>
      <xdr:row>77</xdr:row>
      <xdr:rowOff>161280</xdr:rowOff>
    </xdr:to>
    <xdr:graphicFrame>
      <xdr:nvGraphicFramePr>
        <xdr:cNvPr id="4" name=""/>
        <xdr:cNvGraphicFramePr/>
      </xdr:nvGraphicFramePr>
      <xdr:xfrm>
        <a:off x="0" y="9871920"/>
        <a:ext cx="7077240" cy="3908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213480</xdr:colOff>
      <xdr:row>54</xdr:row>
      <xdr:rowOff>6480</xdr:rowOff>
    </xdr:from>
    <xdr:to>
      <xdr:col>14</xdr:col>
      <xdr:colOff>147960</xdr:colOff>
      <xdr:row>77</xdr:row>
      <xdr:rowOff>142200</xdr:rowOff>
    </xdr:to>
    <xdr:graphicFrame>
      <xdr:nvGraphicFramePr>
        <xdr:cNvPr id="5" name=""/>
        <xdr:cNvGraphicFramePr/>
      </xdr:nvGraphicFramePr>
      <xdr:xfrm>
        <a:off x="8996760" y="9886320"/>
        <a:ext cx="6888960" cy="387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2"/>
    <col collapsed="false" customWidth="true" hidden="false" outlineLevel="0" max="2" min="2" style="1" width="18.08"/>
    <col collapsed="false" customWidth="true" hidden="false" outlineLevel="0" max="3" min="3" style="1" width="19.47"/>
    <col collapsed="false" customWidth="true" hidden="false" outlineLevel="0" max="4" min="4" style="1" width="19.33"/>
    <col collapsed="false" customWidth="true" hidden="false" outlineLevel="0" max="5" min="5" style="1" width="21.69"/>
    <col collapsed="false" customWidth="true" hidden="false" outlineLevel="0" max="6" min="6" style="1" width="25.32"/>
    <col collapsed="false" customWidth="false" hidden="false" outlineLevel="0" max="16384" min="7" style="1" width="11.53"/>
  </cols>
  <sheetData>
    <row r="1" customFormat="false" ht="72.3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35.05" hidden="false" customHeight="fals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customFormat="false" ht="35.05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9</v>
      </c>
      <c r="E3" s="3" t="s">
        <v>15</v>
      </c>
      <c r="F3" s="3" t="s">
        <v>11</v>
      </c>
    </row>
    <row r="4" customFormat="false" ht="35.05" hidden="false" customHeight="false" outlineLevel="0" collapsed="false">
      <c r="A4" s="3" t="s">
        <v>16</v>
      </c>
      <c r="B4" s="3" t="s">
        <v>7</v>
      </c>
      <c r="C4" s="3" t="s">
        <v>14</v>
      </c>
      <c r="D4" s="3" t="s">
        <v>17</v>
      </c>
      <c r="E4" s="3" t="s">
        <v>18</v>
      </c>
      <c r="F4" s="3" t="s">
        <v>19</v>
      </c>
    </row>
    <row r="5" customFormat="false" ht="35.05" hidden="false" customHeight="false" outlineLevel="0" collapsed="false">
      <c r="A5" s="3" t="s">
        <v>12</v>
      </c>
      <c r="B5" s="3" t="s">
        <v>13</v>
      </c>
      <c r="C5" s="3" t="s">
        <v>14</v>
      </c>
      <c r="D5" s="3" t="s">
        <v>17</v>
      </c>
      <c r="E5" s="3" t="s">
        <v>15</v>
      </c>
      <c r="F5" s="3" t="s">
        <v>11</v>
      </c>
    </row>
    <row r="6" customFormat="false" ht="35.05" hidden="false" customHeight="false" outlineLevel="0" collapsed="false">
      <c r="A6" s="3" t="s">
        <v>12</v>
      </c>
      <c r="B6" s="3" t="s">
        <v>13</v>
      </c>
      <c r="C6" s="3" t="s">
        <v>20</v>
      </c>
      <c r="D6" s="3" t="s">
        <v>17</v>
      </c>
      <c r="E6" s="3" t="s">
        <v>15</v>
      </c>
      <c r="F6" s="3" t="s">
        <v>21</v>
      </c>
    </row>
    <row r="7" customFormat="false" ht="35.05" hidden="false" customHeight="false" outlineLevel="0" collapsed="false">
      <c r="A7" s="3" t="s">
        <v>6</v>
      </c>
      <c r="B7" s="3" t="s">
        <v>22</v>
      </c>
      <c r="C7" s="3" t="s">
        <v>23</v>
      </c>
      <c r="D7" s="3" t="s">
        <v>24</v>
      </c>
      <c r="E7" s="3" t="s">
        <v>25</v>
      </c>
      <c r="F7" s="3" t="s">
        <v>21</v>
      </c>
    </row>
    <row r="8" customFormat="false" ht="35.05" hidden="false" customHeight="false" outlineLevel="0" collapsed="false">
      <c r="A8" s="3" t="s">
        <v>26</v>
      </c>
      <c r="B8" s="3" t="s">
        <v>27</v>
      </c>
      <c r="C8" s="3" t="s">
        <v>8</v>
      </c>
      <c r="D8" s="3" t="s">
        <v>9</v>
      </c>
      <c r="E8" s="3" t="s">
        <v>28</v>
      </c>
      <c r="F8" s="3" t="s">
        <v>21</v>
      </c>
    </row>
    <row r="9" customFormat="false" ht="35.05" hidden="false" customHeight="false" outlineLevel="0" collapsed="false">
      <c r="A9" s="3" t="s">
        <v>6</v>
      </c>
      <c r="B9" s="3" t="s">
        <v>27</v>
      </c>
      <c r="C9" s="3" t="s">
        <v>20</v>
      </c>
      <c r="D9" s="3" t="s">
        <v>9</v>
      </c>
      <c r="E9" s="3" t="s">
        <v>15</v>
      </c>
      <c r="F9" s="3" t="s">
        <v>21</v>
      </c>
    </row>
    <row r="10" customFormat="false" ht="35.05" hidden="false" customHeight="false" outlineLevel="0" collapsed="false">
      <c r="A10" s="3" t="s">
        <v>6</v>
      </c>
      <c r="B10" s="3" t="s">
        <v>29</v>
      </c>
      <c r="C10" s="3" t="s">
        <v>8</v>
      </c>
      <c r="D10" s="3" t="s">
        <v>24</v>
      </c>
      <c r="E10" s="3" t="s">
        <v>18</v>
      </c>
      <c r="F10" s="3" t="s">
        <v>21</v>
      </c>
    </row>
    <row r="11" customFormat="false" ht="35.05" hidden="false" customHeight="false" outlineLevel="0" collapsed="false">
      <c r="A11" s="3" t="s">
        <v>26</v>
      </c>
      <c r="B11" s="3" t="s">
        <v>27</v>
      </c>
      <c r="C11" s="3" t="s">
        <v>20</v>
      </c>
      <c r="D11" s="3" t="s">
        <v>17</v>
      </c>
      <c r="E11" s="3" t="s">
        <v>10</v>
      </c>
      <c r="F11" s="3" t="s">
        <v>19</v>
      </c>
    </row>
    <row r="12" customFormat="false" ht="35.05" hidden="false" customHeight="false" outlineLevel="0" collapsed="false">
      <c r="A12" s="3" t="s">
        <v>30</v>
      </c>
      <c r="B12" s="3" t="s">
        <v>27</v>
      </c>
      <c r="C12" s="3" t="s">
        <v>20</v>
      </c>
      <c r="D12" s="3" t="s">
        <v>31</v>
      </c>
      <c r="E12" s="3" t="s">
        <v>25</v>
      </c>
      <c r="F12" s="3" t="s">
        <v>11</v>
      </c>
    </row>
    <row r="13" customFormat="false" ht="23.85" hidden="false" customHeight="false" outlineLevel="0" collapsed="false">
      <c r="A13" s="3" t="s">
        <v>30</v>
      </c>
      <c r="B13" s="3" t="s">
        <v>22</v>
      </c>
      <c r="C13" s="3" t="s">
        <v>23</v>
      </c>
      <c r="D13" s="3" t="s">
        <v>32</v>
      </c>
      <c r="E13" s="3" t="s">
        <v>10</v>
      </c>
      <c r="F13" s="3" t="s">
        <v>21</v>
      </c>
    </row>
    <row r="14" customFormat="false" ht="35.05" hidden="false" customHeight="false" outlineLevel="0" collapsed="false">
      <c r="A14" s="3" t="s">
        <v>30</v>
      </c>
      <c r="B14" s="3" t="s">
        <v>22</v>
      </c>
      <c r="C14" s="3" t="s">
        <v>14</v>
      </c>
      <c r="D14" s="3" t="s">
        <v>32</v>
      </c>
      <c r="E14" s="3" t="s">
        <v>28</v>
      </c>
      <c r="F14" s="3" t="s">
        <v>11</v>
      </c>
    </row>
    <row r="15" customFormat="false" ht="35.05" hidden="false" customHeight="false" outlineLevel="0" collapsed="false">
      <c r="A15" s="3" t="s">
        <v>30</v>
      </c>
      <c r="B15" s="3" t="s">
        <v>7</v>
      </c>
      <c r="C15" s="3" t="s">
        <v>33</v>
      </c>
      <c r="D15" s="3" t="s">
        <v>9</v>
      </c>
      <c r="E15" s="3" t="s">
        <v>25</v>
      </c>
      <c r="F15" s="3" t="s">
        <v>19</v>
      </c>
    </row>
    <row r="16" customFormat="false" ht="35.05" hidden="false" customHeight="false" outlineLevel="0" collapsed="false">
      <c r="A16" s="3" t="s">
        <v>16</v>
      </c>
      <c r="B16" s="3" t="s">
        <v>7</v>
      </c>
      <c r="C16" s="3" t="s">
        <v>14</v>
      </c>
      <c r="D16" s="3" t="s">
        <v>9</v>
      </c>
      <c r="E16" s="3" t="s">
        <v>28</v>
      </c>
      <c r="F16" s="3" t="s">
        <v>19</v>
      </c>
    </row>
    <row r="17" customFormat="false" ht="23.85" hidden="false" customHeight="false" outlineLevel="0" collapsed="false">
      <c r="A17" s="3" t="s">
        <v>12</v>
      </c>
      <c r="B17" s="3" t="s">
        <v>7</v>
      </c>
      <c r="C17" s="3" t="s">
        <v>20</v>
      </c>
      <c r="D17" s="3" t="s">
        <v>31</v>
      </c>
      <c r="E17" s="3" t="s">
        <v>18</v>
      </c>
      <c r="F17" s="3" t="s">
        <v>21</v>
      </c>
    </row>
    <row r="18" customFormat="false" ht="35.05" hidden="false" customHeight="false" outlineLevel="0" collapsed="false">
      <c r="A18" s="3" t="s">
        <v>6</v>
      </c>
      <c r="B18" s="3" t="s">
        <v>7</v>
      </c>
      <c r="C18" s="3" t="s">
        <v>8</v>
      </c>
      <c r="D18" s="3" t="s">
        <v>24</v>
      </c>
      <c r="E18" s="3" t="s">
        <v>10</v>
      </c>
      <c r="F18" s="3" t="s">
        <v>19</v>
      </c>
    </row>
    <row r="19" customFormat="false" ht="35.05" hidden="false" customHeight="false" outlineLevel="0" collapsed="false">
      <c r="A19" s="3" t="s">
        <v>12</v>
      </c>
      <c r="B19" s="3" t="s">
        <v>27</v>
      </c>
      <c r="C19" s="3" t="s">
        <v>20</v>
      </c>
      <c r="D19" s="3" t="s">
        <v>24</v>
      </c>
      <c r="E19" s="3" t="s">
        <v>25</v>
      </c>
      <c r="F19" s="3" t="s">
        <v>19</v>
      </c>
    </row>
    <row r="20" customFormat="false" ht="35.05" hidden="false" customHeight="false" outlineLevel="0" collapsed="false">
      <c r="A20" s="3" t="s">
        <v>16</v>
      </c>
      <c r="B20" s="3" t="s">
        <v>29</v>
      </c>
      <c r="C20" s="3" t="s">
        <v>8</v>
      </c>
      <c r="D20" s="3" t="s">
        <v>17</v>
      </c>
      <c r="E20" s="3" t="s">
        <v>18</v>
      </c>
      <c r="F20" s="3" t="s">
        <v>21</v>
      </c>
    </row>
    <row r="21" customFormat="false" ht="35.05" hidden="false" customHeight="false" outlineLevel="0" collapsed="false">
      <c r="A21" s="3" t="s">
        <v>16</v>
      </c>
      <c r="B21" s="3" t="s">
        <v>22</v>
      </c>
      <c r="C21" s="3" t="s">
        <v>8</v>
      </c>
      <c r="D21" s="3" t="s">
        <v>9</v>
      </c>
      <c r="E21" s="3" t="s">
        <v>10</v>
      </c>
      <c r="F21" s="3" t="s">
        <v>11</v>
      </c>
    </row>
    <row r="22" customFormat="false" ht="35.05" hidden="false" customHeight="false" outlineLevel="0" collapsed="false">
      <c r="A22" s="3" t="s">
        <v>16</v>
      </c>
      <c r="B22" s="3" t="s">
        <v>29</v>
      </c>
      <c r="C22" s="3" t="s">
        <v>33</v>
      </c>
      <c r="D22" s="3" t="s">
        <v>32</v>
      </c>
      <c r="E22" s="3" t="s">
        <v>25</v>
      </c>
      <c r="F22" s="3" t="s">
        <v>21</v>
      </c>
    </row>
    <row r="23" customFormat="false" ht="35.05" hidden="false" customHeight="false" outlineLevel="0" collapsed="false">
      <c r="A23" s="3" t="s">
        <v>6</v>
      </c>
      <c r="B23" s="3" t="s">
        <v>7</v>
      </c>
      <c r="C23" s="3" t="s">
        <v>14</v>
      </c>
      <c r="D23" s="3" t="s">
        <v>31</v>
      </c>
      <c r="E23" s="3" t="s">
        <v>28</v>
      </c>
      <c r="F23" s="3" t="s">
        <v>11</v>
      </c>
    </row>
    <row r="24" customFormat="false" ht="35.05" hidden="false" customHeight="false" outlineLevel="0" collapsed="false">
      <c r="A24" s="3" t="s">
        <v>12</v>
      </c>
      <c r="B24" s="3" t="s">
        <v>7</v>
      </c>
      <c r="C24" s="3" t="s">
        <v>8</v>
      </c>
      <c r="D24" s="3" t="s">
        <v>24</v>
      </c>
      <c r="E24" s="3" t="s">
        <v>25</v>
      </c>
      <c r="F24" s="3" t="s">
        <v>21</v>
      </c>
    </row>
    <row r="25" customFormat="false" ht="35.05" hidden="false" customHeight="false" outlineLevel="0" collapsed="false">
      <c r="A25" s="3" t="s">
        <v>26</v>
      </c>
      <c r="B25" s="3" t="s">
        <v>7</v>
      </c>
      <c r="C25" s="3" t="s">
        <v>8</v>
      </c>
      <c r="D25" s="3" t="s">
        <v>9</v>
      </c>
      <c r="E25" s="3" t="s">
        <v>18</v>
      </c>
      <c r="F25" s="3" t="s">
        <v>11</v>
      </c>
    </row>
    <row r="26" customFormat="false" ht="35.05" hidden="false" customHeight="false" outlineLevel="0" collapsed="false">
      <c r="A26" s="3" t="s">
        <v>26</v>
      </c>
      <c r="B26" s="3" t="s">
        <v>27</v>
      </c>
      <c r="C26" s="3" t="s">
        <v>20</v>
      </c>
      <c r="D26" s="3" t="s">
        <v>9</v>
      </c>
      <c r="E26" s="3" t="s">
        <v>18</v>
      </c>
      <c r="F26" s="3" t="s">
        <v>21</v>
      </c>
    </row>
    <row r="27" customFormat="false" ht="35.05" hidden="false" customHeight="false" outlineLevel="0" collapsed="false">
      <c r="A27" s="3" t="s">
        <v>16</v>
      </c>
      <c r="B27" s="3" t="s">
        <v>29</v>
      </c>
      <c r="C27" s="3" t="s">
        <v>33</v>
      </c>
      <c r="D27" s="3" t="s">
        <v>17</v>
      </c>
      <c r="E27" s="3" t="s">
        <v>15</v>
      </c>
      <c r="F27" s="3" t="s">
        <v>11</v>
      </c>
    </row>
    <row r="28" customFormat="false" ht="35.05" hidden="false" customHeight="false" outlineLevel="0" collapsed="false">
      <c r="A28" s="3" t="s">
        <v>6</v>
      </c>
      <c r="B28" s="3" t="s">
        <v>7</v>
      </c>
      <c r="C28" s="3" t="s">
        <v>8</v>
      </c>
      <c r="D28" s="3" t="s">
        <v>9</v>
      </c>
      <c r="E28" s="3" t="s">
        <v>18</v>
      </c>
      <c r="F28" s="3" t="s">
        <v>21</v>
      </c>
    </row>
    <row r="29" customFormat="false" ht="35.05" hidden="false" customHeight="false" outlineLevel="0" collapsed="false">
      <c r="A29" s="3" t="s">
        <v>12</v>
      </c>
      <c r="B29" s="3" t="s">
        <v>13</v>
      </c>
      <c r="C29" s="3" t="s">
        <v>14</v>
      </c>
      <c r="D29" s="3" t="s">
        <v>9</v>
      </c>
      <c r="E29" s="3" t="s">
        <v>25</v>
      </c>
      <c r="F29" s="3" t="s">
        <v>21</v>
      </c>
    </row>
    <row r="30" customFormat="false" ht="35.05" hidden="false" customHeight="false" outlineLevel="0" collapsed="false">
      <c r="A30" s="3" t="s">
        <v>6</v>
      </c>
      <c r="B30" s="3" t="s">
        <v>13</v>
      </c>
      <c r="C30" s="3" t="s">
        <v>33</v>
      </c>
      <c r="D30" s="3" t="s">
        <v>24</v>
      </c>
      <c r="E30" s="3" t="s">
        <v>25</v>
      </c>
      <c r="F30" s="3" t="s">
        <v>21</v>
      </c>
    </row>
    <row r="31" customFormat="false" ht="35.05" hidden="false" customHeight="false" outlineLevel="0" collapsed="false">
      <c r="A31" s="3" t="s">
        <v>26</v>
      </c>
      <c r="B31" s="3" t="s">
        <v>22</v>
      </c>
      <c r="C31" s="3" t="s">
        <v>20</v>
      </c>
      <c r="D31" s="3" t="s">
        <v>9</v>
      </c>
      <c r="E31" s="3" t="s">
        <v>18</v>
      </c>
      <c r="F31" s="3" t="s">
        <v>21</v>
      </c>
    </row>
    <row r="32" customFormat="false" ht="35.05" hidden="false" customHeight="false" outlineLevel="0" collapsed="false">
      <c r="A32" s="3" t="s">
        <v>6</v>
      </c>
      <c r="B32" s="3" t="s">
        <v>13</v>
      </c>
      <c r="C32" s="3" t="s">
        <v>14</v>
      </c>
      <c r="D32" s="3" t="s">
        <v>31</v>
      </c>
      <c r="E32" s="3" t="s">
        <v>18</v>
      </c>
      <c r="F32" s="3" t="s">
        <v>21</v>
      </c>
    </row>
    <row r="33" customFormat="false" ht="35.05" hidden="false" customHeight="false" outlineLevel="0" collapsed="false">
      <c r="A33" s="3" t="s">
        <v>12</v>
      </c>
      <c r="B33" s="3" t="s">
        <v>27</v>
      </c>
      <c r="C33" s="3" t="s">
        <v>20</v>
      </c>
      <c r="D33" s="3" t="s">
        <v>31</v>
      </c>
      <c r="E33" s="3" t="s">
        <v>28</v>
      </c>
      <c r="F33" s="3" t="s">
        <v>21</v>
      </c>
    </row>
    <row r="34" customFormat="false" ht="35.05" hidden="false" customHeight="false" outlineLevel="0" collapsed="false">
      <c r="A34" s="3" t="s">
        <v>12</v>
      </c>
      <c r="B34" s="3" t="s">
        <v>27</v>
      </c>
      <c r="C34" s="3" t="s">
        <v>14</v>
      </c>
      <c r="D34" s="3" t="s">
        <v>32</v>
      </c>
      <c r="E34" s="3" t="s">
        <v>28</v>
      </c>
      <c r="F34" s="3" t="s">
        <v>21</v>
      </c>
    </row>
    <row r="35" customFormat="false" ht="35.05" hidden="false" customHeight="false" outlineLevel="0" collapsed="false">
      <c r="A35" s="3" t="s">
        <v>12</v>
      </c>
      <c r="B35" s="3" t="s">
        <v>27</v>
      </c>
      <c r="C35" s="3" t="s">
        <v>14</v>
      </c>
      <c r="D35" s="3" t="s">
        <v>31</v>
      </c>
      <c r="E35" s="3" t="s">
        <v>10</v>
      </c>
      <c r="F35" s="3" t="s">
        <v>11</v>
      </c>
    </row>
    <row r="36" customFormat="false" ht="35.05" hidden="false" customHeight="false" outlineLevel="0" collapsed="false">
      <c r="A36" s="3" t="s">
        <v>6</v>
      </c>
      <c r="B36" s="3" t="s">
        <v>29</v>
      </c>
      <c r="C36" s="3" t="s">
        <v>8</v>
      </c>
      <c r="D36" s="3" t="s">
        <v>9</v>
      </c>
      <c r="E36" s="3" t="s">
        <v>25</v>
      </c>
      <c r="F36" s="3" t="s">
        <v>21</v>
      </c>
    </row>
    <row r="37" customFormat="false" ht="23.85" hidden="false" customHeight="false" outlineLevel="0" collapsed="false">
      <c r="A37" s="3" t="s">
        <v>6</v>
      </c>
      <c r="B37" s="3" t="s">
        <v>7</v>
      </c>
      <c r="C37" s="3" t="s">
        <v>33</v>
      </c>
      <c r="D37" s="3" t="s">
        <v>32</v>
      </c>
      <c r="E37" s="3" t="s">
        <v>18</v>
      </c>
      <c r="F37" s="3" t="s">
        <v>21</v>
      </c>
    </row>
    <row r="38" customFormat="false" ht="35.05" hidden="false" customHeight="false" outlineLevel="0" collapsed="false">
      <c r="A38" s="3" t="s">
        <v>26</v>
      </c>
      <c r="B38" s="3" t="s">
        <v>29</v>
      </c>
      <c r="C38" s="3" t="s">
        <v>8</v>
      </c>
      <c r="D38" s="3" t="s">
        <v>17</v>
      </c>
      <c r="E38" s="3" t="s">
        <v>10</v>
      </c>
      <c r="F38" s="3" t="s">
        <v>21</v>
      </c>
    </row>
    <row r="39" customFormat="false" ht="35.05" hidden="false" customHeight="false" outlineLevel="0" collapsed="false">
      <c r="A39" s="3" t="s">
        <v>6</v>
      </c>
      <c r="B39" s="3" t="s">
        <v>7</v>
      </c>
      <c r="C39" s="3" t="s">
        <v>14</v>
      </c>
      <c r="D39" s="3" t="s">
        <v>31</v>
      </c>
      <c r="E39" s="3" t="s">
        <v>28</v>
      </c>
      <c r="F39" s="3" t="s">
        <v>19</v>
      </c>
    </row>
    <row r="40" customFormat="false" ht="35.05" hidden="false" customHeight="false" outlineLevel="0" collapsed="false">
      <c r="A40" s="3" t="s">
        <v>26</v>
      </c>
      <c r="B40" s="3" t="s">
        <v>13</v>
      </c>
      <c r="C40" s="3" t="s">
        <v>33</v>
      </c>
      <c r="D40" s="3" t="s">
        <v>17</v>
      </c>
      <c r="E40" s="3" t="s">
        <v>18</v>
      </c>
      <c r="F40" s="3" t="s">
        <v>11</v>
      </c>
    </row>
    <row r="41" customFormat="false" ht="35.05" hidden="false" customHeight="false" outlineLevel="0" collapsed="false">
      <c r="A41" s="3" t="s">
        <v>26</v>
      </c>
      <c r="B41" s="3" t="s">
        <v>13</v>
      </c>
      <c r="C41" s="3" t="s">
        <v>33</v>
      </c>
      <c r="D41" s="3" t="s">
        <v>24</v>
      </c>
      <c r="E41" s="3" t="s">
        <v>28</v>
      </c>
      <c r="F41" s="3" t="s">
        <v>19</v>
      </c>
    </row>
    <row r="42" customFormat="false" ht="35.05" hidden="false" customHeight="false" outlineLevel="0" collapsed="false">
      <c r="A42" s="3" t="s">
        <v>12</v>
      </c>
      <c r="B42" s="3" t="s">
        <v>13</v>
      </c>
      <c r="C42" s="3" t="s">
        <v>23</v>
      </c>
      <c r="D42" s="3" t="s">
        <v>24</v>
      </c>
      <c r="E42" s="3" t="s">
        <v>18</v>
      </c>
      <c r="F42" s="3" t="s">
        <v>19</v>
      </c>
    </row>
    <row r="43" customFormat="false" ht="35.05" hidden="false" customHeight="false" outlineLevel="0" collapsed="false">
      <c r="A43" s="3" t="s">
        <v>6</v>
      </c>
      <c r="B43" s="3" t="s">
        <v>7</v>
      </c>
      <c r="C43" s="3" t="s">
        <v>14</v>
      </c>
      <c r="D43" s="3" t="s">
        <v>24</v>
      </c>
      <c r="E43" s="3" t="s">
        <v>10</v>
      </c>
      <c r="F43" s="3" t="s">
        <v>21</v>
      </c>
    </row>
    <row r="44" customFormat="false" ht="35.05" hidden="false" customHeight="false" outlineLevel="0" collapsed="false">
      <c r="A44" s="3" t="s">
        <v>6</v>
      </c>
      <c r="B44" s="3" t="s">
        <v>29</v>
      </c>
      <c r="C44" s="3" t="s">
        <v>20</v>
      </c>
      <c r="D44" s="3" t="s">
        <v>24</v>
      </c>
      <c r="E44" s="3" t="s">
        <v>15</v>
      </c>
      <c r="F44" s="3" t="s">
        <v>21</v>
      </c>
    </row>
    <row r="45" customFormat="false" ht="35.05" hidden="false" customHeight="false" outlineLevel="0" collapsed="false">
      <c r="A45" s="3" t="s">
        <v>26</v>
      </c>
      <c r="B45" s="3" t="s">
        <v>27</v>
      </c>
      <c r="C45" s="3" t="s">
        <v>33</v>
      </c>
      <c r="D45" s="3" t="s">
        <v>24</v>
      </c>
      <c r="E45" s="3" t="s">
        <v>25</v>
      </c>
      <c r="F45" s="3" t="s">
        <v>21</v>
      </c>
    </row>
    <row r="46" customFormat="false" ht="23.85" hidden="false" customHeight="false" outlineLevel="0" collapsed="false">
      <c r="A46" s="3" t="s">
        <v>12</v>
      </c>
      <c r="B46" s="3" t="s">
        <v>13</v>
      </c>
      <c r="C46" s="3" t="s">
        <v>33</v>
      </c>
      <c r="D46" s="3" t="s">
        <v>32</v>
      </c>
      <c r="E46" s="3" t="s">
        <v>10</v>
      </c>
      <c r="F46" s="3" t="s">
        <v>11</v>
      </c>
    </row>
    <row r="47" customFormat="false" ht="35.05" hidden="false" customHeight="false" outlineLevel="0" collapsed="false">
      <c r="A47" s="3" t="s">
        <v>12</v>
      </c>
      <c r="B47" s="3" t="s">
        <v>22</v>
      </c>
      <c r="C47" s="3" t="s">
        <v>20</v>
      </c>
      <c r="D47" s="3" t="s">
        <v>24</v>
      </c>
      <c r="E47" s="3" t="s">
        <v>10</v>
      </c>
      <c r="F47" s="3" t="s">
        <v>21</v>
      </c>
    </row>
    <row r="48" customFormat="false" ht="35.05" hidden="false" customHeight="false" outlineLevel="0" collapsed="false">
      <c r="A48" s="3" t="s">
        <v>26</v>
      </c>
      <c r="B48" s="3" t="s">
        <v>7</v>
      </c>
      <c r="C48" s="3" t="s">
        <v>8</v>
      </c>
      <c r="D48" s="3" t="s">
        <v>17</v>
      </c>
      <c r="E48" s="3" t="s">
        <v>25</v>
      </c>
      <c r="F48" s="3" t="s">
        <v>21</v>
      </c>
    </row>
    <row r="49" customFormat="false" ht="35.05" hidden="false" customHeight="false" outlineLevel="0" collapsed="false">
      <c r="A49" s="3" t="s">
        <v>26</v>
      </c>
      <c r="B49" s="3" t="s">
        <v>29</v>
      </c>
      <c r="C49" s="3" t="s">
        <v>20</v>
      </c>
      <c r="D49" s="3" t="s">
        <v>9</v>
      </c>
      <c r="E49" s="3" t="s">
        <v>10</v>
      </c>
      <c r="F49" s="3" t="s">
        <v>19</v>
      </c>
    </row>
    <row r="50" customFormat="false" ht="35.05" hidden="false" customHeight="false" outlineLevel="0" collapsed="false">
      <c r="A50" s="3" t="s">
        <v>30</v>
      </c>
      <c r="B50" s="3" t="s">
        <v>7</v>
      </c>
      <c r="C50" s="3" t="s">
        <v>20</v>
      </c>
      <c r="D50" s="3" t="s">
        <v>32</v>
      </c>
      <c r="E50" s="3" t="s">
        <v>25</v>
      </c>
      <c r="F50" s="3" t="s">
        <v>19</v>
      </c>
    </row>
    <row r="51" customFormat="false" ht="35.05" hidden="false" customHeight="false" outlineLevel="0" collapsed="false">
      <c r="A51" s="3" t="s">
        <v>6</v>
      </c>
      <c r="B51" s="3" t="s">
        <v>22</v>
      </c>
      <c r="C51" s="3" t="s">
        <v>20</v>
      </c>
      <c r="D51" s="3" t="s">
        <v>9</v>
      </c>
      <c r="E51" s="3" t="s">
        <v>18</v>
      </c>
      <c r="F51" s="3" t="s">
        <v>21</v>
      </c>
    </row>
    <row r="52" customFormat="false" ht="35.05" hidden="false" customHeight="false" outlineLevel="0" collapsed="false">
      <c r="A52" s="3" t="s">
        <v>12</v>
      </c>
      <c r="B52" s="3" t="s">
        <v>22</v>
      </c>
      <c r="C52" s="3" t="s">
        <v>20</v>
      </c>
      <c r="D52" s="3" t="s">
        <v>32</v>
      </c>
      <c r="E52" s="3" t="s">
        <v>25</v>
      </c>
      <c r="F52" s="3" t="s">
        <v>19</v>
      </c>
    </row>
    <row r="53" customFormat="false" ht="35.05" hidden="false" customHeight="false" outlineLevel="0" collapsed="false">
      <c r="A53" s="3" t="s">
        <v>26</v>
      </c>
      <c r="B53" s="3" t="s">
        <v>22</v>
      </c>
      <c r="C53" s="3" t="s">
        <v>33</v>
      </c>
      <c r="D53" s="3" t="s">
        <v>9</v>
      </c>
      <c r="E53" s="3" t="s">
        <v>10</v>
      </c>
      <c r="F53" s="3" t="s">
        <v>21</v>
      </c>
    </row>
    <row r="54" customFormat="false" ht="35.05" hidden="false" customHeight="false" outlineLevel="0" collapsed="false">
      <c r="A54" s="3" t="s">
        <v>16</v>
      </c>
      <c r="B54" s="3" t="s">
        <v>13</v>
      </c>
      <c r="C54" s="3" t="s">
        <v>20</v>
      </c>
      <c r="D54" s="3" t="s">
        <v>17</v>
      </c>
      <c r="E54" s="3" t="s">
        <v>28</v>
      </c>
      <c r="F54" s="3" t="s">
        <v>21</v>
      </c>
    </row>
    <row r="55" customFormat="false" ht="35.05" hidden="false" customHeight="false" outlineLevel="0" collapsed="false">
      <c r="A55" s="3" t="s">
        <v>6</v>
      </c>
      <c r="B55" s="3" t="s">
        <v>29</v>
      </c>
      <c r="C55" s="3" t="s">
        <v>33</v>
      </c>
      <c r="D55" s="3" t="s">
        <v>17</v>
      </c>
      <c r="E55" s="3" t="s">
        <v>15</v>
      </c>
      <c r="F55" s="3" t="s">
        <v>21</v>
      </c>
    </row>
    <row r="56" customFormat="false" ht="35.05" hidden="false" customHeight="false" outlineLevel="0" collapsed="false">
      <c r="A56" s="3" t="s">
        <v>16</v>
      </c>
      <c r="B56" s="3" t="s">
        <v>27</v>
      </c>
      <c r="C56" s="3" t="s">
        <v>20</v>
      </c>
      <c r="D56" s="3" t="s">
        <v>32</v>
      </c>
      <c r="E56" s="3" t="s">
        <v>10</v>
      </c>
      <c r="F56" s="3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4" width="24.62"/>
    <col collapsed="false" customWidth="true" hidden="false" outlineLevel="0" max="2" min="2" style="4" width="23.22"/>
    <col collapsed="false" customWidth="true" hidden="false" outlineLevel="0" max="3" min="3" style="4" width="20.58"/>
    <col collapsed="false" customWidth="false" hidden="false" outlineLevel="0" max="4" min="4" style="4" width="11.53"/>
    <col collapsed="false" customWidth="true" hidden="false" outlineLevel="0" max="5" min="5" style="4" width="24.78"/>
    <col collapsed="false" customWidth="true" hidden="false" outlineLevel="0" max="6" min="6" style="4" width="21.84"/>
    <col collapsed="false" customWidth="true" hidden="false" outlineLevel="0" max="7" min="7" style="4" width="17.95"/>
  </cols>
  <sheetData>
    <row r="1" customFormat="false" ht="34.3" hidden="false" customHeight="true" outlineLevel="0" collapsed="false">
      <c r="A1" s="5" t="s">
        <v>34</v>
      </c>
      <c r="B1" s="5" t="s">
        <v>35</v>
      </c>
      <c r="C1" s="5" t="s">
        <v>36</v>
      </c>
      <c r="E1" s="6" t="s">
        <v>37</v>
      </c>
      <c r="F1" s="6" t="s">
        <v>35</v>
      </c>
      <c r="G1" s="6" t="s">
        <v>36</v>
      </c>
    </row>
    <row r="2" customFormat="false" ht="25.35" hidden="false" customHeight="false" outlineLevel="0" collapsed="false">
      <c r="A2" s="7" t="s">
        <v>6</v>
      </c>
      <c r="B2" s="8" t="n">
        <f aca="false">COUNTIF(Data_Cruda!A:A, A2)</f>
        <v>16</v>
      </c>
      <c r="C2" s="9" t="n">
        <f aca="false">B2/55</f>
        <v>0.290909090909091</v>
      </c>
      <c r="E2" s="10" t="s">
        <v>10</v>
      </c>
      <c r="F2" s="10" t="n">
        <f aca="false">COUNTIF(Data_Cruda!E:E, E2)</f>
        <v>13</v>
      </c>
      <c r="G2" s="9" t="n">
        <f aca="false">F2/55</f>
        <v>0.236363636363636</v>
      </c>
    </row>
    <row r="3" customFormat="false" ht="25.35" hidden="false" customHeight="false" outlineLevel="0" collapsed="false">
      <c r="A3" s="10" t="s">
        <v>12</v>
      </c>
      <c r="B3" s="8" t="n">
        <f aca="false">COUNTIF(Data_Cruda!A:A, A3)</f>
        <v>14</v>
      </c>
      <c r="C3" s="9" t="n">
        <f aca="false">B3/55</f>
        <v>0.254545454545455</v>
      </c>
      <c r="E3" s="10" t="s">
        <v>18</v>
      </c>
      <c r="F3" s="10" t="n">
        <f aca="false">COUNTIF(Data_Cruda!E:E, E3)</f>
        <v>13</v>
      </c>
      <c r="G3" s="9" t="n">
        <f aca="false">F3/55</f>
        <v>0.236363636363636</v>
      </c>
    </row>
    <row r="4" customFormat="false" ht="37.3" hidden="false" customHeight="false" outlineLevel="0" collapsed="false">
      <c r="A4" s="10" t="s">
        <v>26</v>
      </c>
      <c r="B4" s="8" t="n">
        <f aca="false">COUNTIF(Data_Cruda!A:A, A4)</f>
        <v>12</v>
      </c>
      <c r="C4" s="9" t="n">
        <f aca="false">B4/55</f>
        <v>0.218181818181818</v>
      </c>
      <c r="E4" s="10" t="s">
        <v>25</v>
      </c>
      <c r="F4" s="10" t="n">
        <f aca="false">COUNTIF(Data_Cruda!E:E, E4)</f>
        <v>13</v>
      </c>
      <c r="G4" s="9" t="n">
        <f aca="false">F4/55</f>
        <v>0.236363636363636</v>
      </c>
    </row>
    <row r="5" customFormat="false" ht="37.3" hidden="false" customHeight="false" outlineLevel="0" collapsed="false">
      <c r="A5" s="8" t="s">
        <v>16</v>
      </c>
      <c r="B5" s="8" t="n">
        <f aca="false">COUNTIF(Data_Cruda!A:A, A5)</f>
        <v>8</v>
      </c>
      <c r="C5" s="9" t="n">
        <f aca="false">B5/55</f>
        <v>0.145454545454545</v>
      </c>
      <c r="E5" s="10" t="s">
        <v>28</v>
      </c>
      <c r="F5" s="10" t="n">
        <f aca="false">COUNTIF(Data_Cruda!E:E, E5)</f>
        <v>9</v>
      </c>
      <c r="G5" s="9" t="n">
        <f aca="false">F5/55</f>
        <v>0.163636363636364</v>
      </c>
    </row>
    <row r="6" customFormat="false" ht="25.35" hidden="false" customHeight="false" outlineLevel="0" collapsed="false">
      <c r="A6" s="10" t="s">
        <v>30</v>
      </c>
      <c r="B6" s="8" t="n">
        <f aca="false">COUNTIF(Data_Cruda!A:A, A6)</f>
        <v>5</v>
      </c>
      <c r="C6" s="9" t="n">
        <f aca="false">B6/55</f>
        <v>0.0909090909090909</v>
      </c>
      <c r="E6" s="10" t="s">
        <v>15</v>
      </c>
      <c r="F6" s="10" t="n">
        <f aca="false">COUNTIF(Data_Cruda!E:E, E6)</f>
        <v>7</v>
      </c>
      <c r="G6" s="9" t="n">
        <f aca="false">F6/55</f>
        <v>0.127272727272727</v>
      </c>
    </row>
    <row r="7" s="4" customFormat="true" ht="12.8" hidden="false" customHeight="false" outlineLevel="0" collapsed="false"/>
    <row r="8" s="4" customFormat="true" ht="12.8" hidden="false" customHeight="false" outlineLevel="0" collapsed="false"/>
    <row r="9" customFormat="false" ht="35.05" hidden="false" customHeight="true" outlineLevel="0" collapsed="false">
      <c r="A9" s="6" t="s">
        <v>38</v>
      </c>
      <c r="B9" s="6" t="s">
        <v>35</v>
      </c>
      <c r="C9" s="6" t="s">
        <v>36</v>
      </c>
      <c r="E9" s="6" t="s">
        <v>39</v>
      </c>
      <c r="F9" s="6" t="s">
        <v>35</v>
      </c>
      <c r="G9" s="6" t="s">
        <v>36</v>
      </c>
    </row>
    <row r="10" customFormat="false" ht="25.35" hidden="false" customHeight="false" outlineLevel="0" collapsed="false">
      <c r="A10" s="10" t="s">
        <v>7</v>
      </c>
      <c r="B10" s="10" t="n">
        <f aca="false">COUNTIF(Data_Cruda!B:B, A10)</f>
        <v>15</v>
      </c>
      <c r="C10" s="9" t="n">
        <f aca="false">B10/55</f>
        <v>0.272727272727273</v>
      </c>
      <c r="E10" s="10" t="s">
        <v>21</v>
      </c>
      <c r="F10" s="10" t="n">
        <f aca="false">COUNTIF(Data_Cruda!F:F, E10)</f>
        <v>30</v>
      </c>
      <c r="G10" s="9" t="n">
        <f aca="false">F10/55</f>
        <v>0.545454545454545</v>
      </c>
    </row>
    <row r="11" customFormat="false" ht="37.3" hidden="false" customHeight="false" outlineLevel="0" collapsed="false">
      <c r="A11" s="10" t="s">
        <v>13</v>
      </c>
      <c r="B11" s="10" t="n">
        <f aca="false">COUNTIF(Data_Cruda!B:B, A11)</f>
        <v>11</v>
      </c>
      <c r="C11" s="9" t="n">
        <f aca="false">B11/55</f>
        <v>0.2</v>
      </c>
      <c r="E11" s="10" t="s">
        <v>19</v>
      </c>
      <c r="F11" s="10" t="n">
        <f aca="false">COUNTIF(Data_Cruda!F:F, E11)</f>
        <v>13</v>
      </c>
      <c r="G11" s="9" t="n">
        <f aca="false">F11/55</f>
        <v>0.236363636363636</v>
      </c>
    </row>
    <row r="12" customFormat="false" ht="25.35" hidden="false" customHeight="false" outlineLevel="0" collapsed="false">
      <c r="A12" s="10" t="s">
        <v>27</v>
      </c>
      <c r="B12" s="10" t="n">
        <f aca="false">COUNTIF(Data_Cruda!B:B, A12)</f>
        <v>11</v>
      </c>
      <c r="C12" s="9" t="n">
        <f aca="false">B12/55</f>
        <v>0.2</v>
      </c>
      <c r="E12" s="10" t="s">
        <v>11</v>
      </c>
      <c r="F12" s="10" t="n">
        <f aca="false">COUNTIF(Data_Cruda!F:F, E12)</f>
        <v>12</v>
      </c>
      <c r="G12" s="9" t="n">
        <f aca="false">F12/55</f>
        <v>0.218181818181818</v>
      </c>
    </row>
    <row r="13" customFormat="false" ht="25.35" hidden="false" customHeight="false" outlineLevel="0" collapsed="false">
      <c r="A13" s="10" t="s">
        <v>22</v>
      </c>
      <c r="B13" s="10" t="n">
        <f aca="false">COUNTIF(Data_Cruda!B:B, A13)</f>
        <v>9</v>
      </c>
      <c r="C13" s="9" t="n">
        <f aca="false">B13/55</f>
        <v>0.163636363636364</v>
      </c>
      <c r="H13" s="4"/>
    </row>
    <row r="14" customFormat="false" ht="25.35" hidden="false" customHeight="false" outlineLevel="0" collapsed="false">
      <c r="A14" s="10" t="s">
        <v>29</v>
      </c>
      <c r="B14" s="10" t="n">
        <f aca="false">COUNTIF(Data_Cruda!B:B, A14)</f>
        <v>9</v>
      </c>
      <c r="C14" s="9" t="n">
        <f aca="false">B14/55</f>
        <v>0.163636363636364</v>
      </c>
      <c r="H14" s="4"/>
    </row>
    <row r="15" s="4" customFormat="true" ht="12.8" hidden="false" customHeight="false" outlineLevel="0" collapsed="false"/>
    <row r="16" s="4" customFormat="true" ht="12.8" hidden="false" customHeight="false" outlineLevel="0" collapsed="false"/>
    <row r="17" customFormat="false" ht="34.3" hidden="false" customHeight="true" outlineLevel="0" collapsed="false">
      <c r="A17" s="6" t="s">
        <v>40</v>
      </c>
      <c r="B17" s="6" t="s">
        <v>35</v>
      </c>
      <c r="C17" s="6" t="s">
        <v>36</v>
      </c>
    </row>
    <row r="18" customFormat="false" ht="25.35" hidden="false" customHeight="false" outlineLevel="0" collapsed="false">
      <c r="A18" s="10" t="s">
        <v>20</v>
      </c>
      <c r="B18" s="10" t="n">
        <f aca="false">COUNTIF(Data_Cruda!C:C, A18)</f>
        <v>17</v>
      </c>
      <c r="C18" s="9" t="n">
        <f aca="false">B18/55</f>
        <v>0.309090909090909</v>
      </c>
    </row>
    <row r="19" customFormat="false" ht="25.35" hidden="false" customHeight="false" outlineLevel="0" collapsed="false">
      <c r="A19" s="10" t="s">
        <v>8</v>
      </c>
      <c r="B19" s="10" t="n">
        <f aca="false">COUNTIF(Data_Cruda!C:C, A19)</f>
        <v>12</v>
      </c>
      <c r="C19" s="9" t="n">
        <f aca="false">B19/55</f>
        <v>0.218181818181818</v>
      </c>
    </row>
    <row r="20" customFormat="false" ht="25.35" hidden="false" customHeight="false" outlineLevel="0" collapsed="false">
      <c r="A20" s="10" t="s">
        <v>14</v>
      </c>
      <c r="B20" s="10" t="n">
        <f aca="false">COUNTIF(Data_Cruda!C:C, A20)</f>
        <v>12</v>
      </c>
      <c r="C20" s="9" t="n">
        <f aca="false">B20/55</f>
        <v>0.218181818181818</v>
      </c>
    </row>
    <row r="21" customFormat="false" ht="25.35" hidden="false" customHeight="false" outlineLevel="0" collapsed="false">
      <c r="A21" s="10" t="s">
        <v>33</v>
      </c>
      <c r="B21" s="10" t="n">
        <f aca="false">COUNTIF(Data_Cruda!C:C, A21)</f>
        <v>11</v>
      </c>
      <c r="C21" s="9" t="n">
        <f aca="false">B21/55</f>
        <v>0.2</v>
      </c>
    </row>
    <row r="22" customFormat="false" ht="25.35" hidden="false" customHeight="false" outlineLevel="0" collapsed="false">
      <c r="A22" s="10" t="s">
        <v>23</v>
      </c>
      <c r="B22" s="10" t="n">
        <f aca="false">COUNTIF(Data_Cruda!C:C, A22)</f>
        <v>3</v>
      </c>
      <c r="C22" s="9" t="n">
        <f aca="false">B22/55</f>
        <v>0.0545454545454545</v>
      </c>
    </row>
    <row r="23" s="4" customFormat="true" ht="12.8" hidden="false" customHeight="false" outlineLevel="0" collapsed="false"/>
    <row r="24" s="4" customFormat="true" ht="12.8" hidden="false" customHeight="false" outlineLevel="0" collapsed="false"/>
    <row r="25" customFormat="false" ht="34.3" hidden="false" customHeight="true" outlineLevel="0" collapsed="false">
      <c r="A25" s="6" t="s">
        <v>41</v>
      </c>
      <c r="B25" s="6" t="s">
        <v>35</v>
      </c>
      <c r="C25" s="6" t="s">
        <v>36</v>
      </c>
    </row>
    <row r="26" customFormat="false" ht="36.95" hidden="false" customHeight="false" outlineLevel="0" collapsed="false">
      <c r="A26" s="10" t="s">
        <v>9</v>
      </c>
      <c r="B26" s="10" t="n">
        <f aca="false">COUNTIF(Data_Cruda!D:D, A26)</f>
        <v>16</v>
      </c>
      <c r="C26" s="9" t="n">
        <f aca="false">B26/55</f>
        <v>0.290909090909091</v>
      </c>
    </row>
    <row r="27" customFormat="false" ht="36.95" hidden="false" customHeight="false" outlineLevel="0" collapsed="false">
      <c r="A27" s="10" t="s">
        <v>24</v>
      </c>
      <c r="B27" s="10" t="n">
        <f aca="false">COUNTIF(Data_Cruda!D:D, A27)</f>
        <v>12</v>
      </c>
      <c r="C27" s="9" t="n">
        <f aca="false">B27/55</f>
        <v>0.218181818181818</v>
      </c>
    </row>
    <row r="28" customFormat="false" ht="36.95" hidden="false" customHeight="false" outlineLevel="0" collapsed="false">
      <c r="A28" s="10" t="s">
        <v>17</v>
      </c>
      <c r="B28" s="10" t="n">
        <f aca="false">COUNTIF(Data_Cruda!D:D, A28)</f>
        <v>11</v>
      </c>
      <c r="C28" s="9" t="n">
        <f aca="false">B28/55</f>
        <v>0.2</v>
      </c>
    </row>
    <row r="29" customFormat="false" ht="25.05" hidden="false" customHeight="false" outlineLevel="0" collapsed="false">
      <c r="A29" s="10" t="s">
        <v>32</v>
      </c>
      <c r="B29" s="10" t="n">
        <f aca="false">COUNTIF(Data_Cruda!D:D, A29)</f>
        <v>9</v>
      </c>
      <c r="C29" s="9" t="n">
        <f aca="false">B29/55</f>
        <v>0.163636363636364</v>
      </c>
    </row>
    <row r="30" customFormat="false" ht="25.05" hidden="false" customHeight="false" outlineLevel="0" collapsed="false">
      <c r="A30" s="10" t="s">
        <v>31</v>
      </c>
      <c r="B30" s="10" t="n">
        <f aca="false">COUNTIF(Data_Cruda!D:D, A30)</f>
        <v>7</v>
      </c>
      <c r="C30" s="9" t="n">
        <f aca="false">B30/55</f>
        <v>0.127272727272727</v>
      </c>
    </row>
    <row r="31" s="4" customFormat="true" ht="12.8" hidden="false" customHeight="false" outlineLevel="0" collapsed="false"/>
    <row r="32" s="4" customFormat="true" ht="12.8" hidden="false" customHeight="false" outlineLevel="0" collapsed="false"/>
  </sheetData>
  <mergeCells count="11">
    <mergeCell ref="D1:D6"/>
    <mergeCell ref="H1:H6"/>
    <mergeCell ref="7:8"/>
    <mergeCell ref="D9:D14"/>
    <mergeCell ref="H9:H12"/>
    <mergeCell ref="E13:H14"/>
    <mergeCell ref="15:16"/>
    <mergeCell ref="D17:D22"/>
    <mergeCell ref="23:24"/>
    <mergeCell ref="D25:D30"/>
    <mergeCell ref="31:3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fals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V56" activeCellId="0" sqref="V5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1" width="24.62"/>
    <col collapsed="false" customWidth="true" hidden="false" outlineLevel="0" max="2" min="2" style="11" width="23.22"/>
    <col collapsed="false" customWidth="true" hidden="false" outlineLevel="0" max="3" min="3" style="11" width="20.58"/>
    <col collapsed="false" customWidth="false" hidden="false" outlineLevel="0" max="4" min="4" style="11" width="11.53"/>
    <col collapsed="false" customWidth="true" hidden="false" outlineLevel="0" max="5" min="5" style="11" width="22.81"/>
    <col collapsed="false" customWidth="true" hidden="false" outlineLevel="0" max="6" min="6" style="11" width="21.84"/>
    <col collapsed="false" customWidth="true" hidden="false" outlineLevel="0" max="7" min="7" style="11" width="17.95"/>
    <col collapsed="false" customWidth="false" hidden="false" outlineLevel="0" max="16384" min="8" style="12" width="11.53"/>
  </cols>
  <sheetData>
    <row r="1" customFormat="false" ht="34.3" hidden="false" customHeight="true" outlineLevel="0" collapsed="false">
      <c r="A1" s="13" t="s">
        <v>42</v>
      </c>
    </row>
    <row r="9" customFormat="false" ht="35.05" hidden="false" customHeight="true" outlineLevel="0" collapsed="false"/>
    <row r="17" customFormat="false" ht="34.3" hidden="false" customHeight="true" outlineLevel="0" collapsed="false"/>
    <row r="25" customFormat="false" ht="34.3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2026-05-05T08:58:04Z</dcterms:created>
  <dc:creator>Juan Quiroz</dc:creator>
  <dc:description/>
  <dc:language>es-CO</dc:language>
  <cp:lastModifiedBy>Juan Quiroz</cp:lastModifiedBy>
  <dcterms:modified xsi:type="dcterms:W3CDTF">2026-05-05T11:11:13Z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